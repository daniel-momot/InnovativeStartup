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ЭПО 2018 final осень\2 ЭПО Финансово-экономическая эффективность\"/>
    </mc:Choice>
  </mc:AlternateContent>
  <xr:revisionPtr revIDLastSave="0" documentId="13_ncr:1_{E361C48E-7F51-4D00-BA13-546387D9E025}" xr6:coauthVersionLast="41" xr6:coauthVersionMax="41" xr10:uidLastSave="{00000000-0000-0000-0000-000000000000}"/>
  <bookViews>
    <workbookView xWindow="-120" yWindow="-120" windowWidth="20730" windowHeight="11760" activeTab="2" xr2:uid="{00000000-000D-0000-FFFF-FFFF00000000}"/>
  </bookViews>
  <sheets>
    <sheet name="Денежные потоки" sheetId="2" r:id="rId1"/>
    <sheet name="Оценка эффективности" sheetId="4" r:id="rId2"/>
    <sheet name="На слайд" sheetId="3" r:id="rId3"/>
  </sheets>
  <calcPr calcId="181029"/>
</workbook>
</file>

<file path=xl/calcChain.xml><?xml version="1.0" encoding="utf-8"?>
<calcChain xmlns="http://schemas.openxmlformats.org/spreadsheetml/2006/main">
  <c r="C3" i="3" l="1"/>
  <c r="D3" i="3"/>
  <c r="E3" i="3"/>
  <c r="B3" i="3"/>
  <c r="B42" i="4" l="1"/>
  <c r="D13" i="4" l="1"/>
  <c r="D9" i="4"/>
  <c r="E9" i="4"/>
  <c r="F9" i="4"/>
  <c r="D12" i="4"/>
  <c r="D26" i="2"/>
  <c r="D26" i="4" s="1"/>
  <c r="E26" i="2"/>
  <c r="E26" i="4" s="1"/>
  <c r="F26" i="2"/>
  <c r="F26" i="4" s="1"/>
  <c r="A11" i="3"/>
  <c r="A12" i="3"/>
  <c r="A13" i="3"/>
  <c r="A14" i="3"/>
  <c r="A10" i="3"/>
  <c r="B9" i="3"/>
  <c r="C31" i="4"/>
  <c r="D34" i="4"/>
  <c r="B11" i="4"/>
  <c r="B12" i="4"/>
  <c r="B16" i="4"/>
  <c r="C12" i="4"/>
  <c r="C18" i="4"/>
  <c r="B5" i="3" s="1"/>
  <c r="C17" i="4"/>
  <c r="C16" i="4"/>
  <c r="C15" i="4"/>
  <c r="C11" i="4"/>
  <c r="C8" i="4"/>
  <c r="B3" i="4"/>
  <c r="F39" i="4"/>
  <c r="E39" i="4"/>
  <c r="D39" i="4"/>
  <c r="C39" i="4"/>
  <c r="F38" i="4"/>
  <c r="E38" i="4"/>
  <c r="D38" i="4"/>
  <c r="C38" i="4"/>
  <c r="F37" i="4"/>
  <c r="E37" i="4"/>
  <c r="D37" i="4"/>
  <c r="C37" i="4"/>
  <c r="F35" i="4"/>
  <c r="E35" i="4"/>
  <c r="D35" i="4"/>
  <c r="C35" i="4"/>
  <c r="F34" i="4"/>
  <c r="E34" i="4"/>
  <c r="C34" i="4"/>
  <c r="F32" i="4"/>
  <c r="E32" i="4"/>
  <c r="D32" i="4"/>
  <c r="C32" i="4"/>
  <c r="F31" i="4"/>
  <c r="E31" i="4"/>
  <c r="D31" i="4"/>
  <c r="F25" i="4"/>
  <c r="E25" i="4"/>
  <c r="D25" i="4"/>
  <c r="C25" i="4"/>
  <c r="F24" i="4"/>
  <c r="E24" i="4"/>
  <c r="D24" i="4"/>
  <c r="C24" i="4"/>
  <c r="F23" i="4"/>
  <c r="E23" i="4"/>
  <c r="D23" i="4"/>
  <c r="C23" i="4"/>
  <c r="F22" i="4"/>
  <c r="E22" i="4"/>
  <c r="D22" i="4"/>
  <c r="C22" i="4"/>
  <c r="F21" i="4"/>
  <c r="E21" i="4"/>
  <c r="D21" i="4"/>
  <c r="C21" i="4"/>
  <c r="F20" i="4"/>
  <c r="E20" i="4"/>
  <c r="D20" i="4"/>
  <c r="C20" i="4"/>
  <c r="F19" i="4"/>
  <c r="E19" i="4"/>
  <c r="D19" i="4"/>
  <c r="C19" i="4"/>
  <c r="C14" i="4"/>
  <c r="C13" i="4"/>
  <c r="E13" i="4"/>
  <c r="F13" i="4"/>
  <c r="D14" i="4"/>
  <c r="E14" i="4"/>
  <c r="F14" i="4"/>
  <c r="D10" i="4"/>
  <c r="E10" i="4"/>
  <c r="F10" i="4"/>
  <c r="C10" i="4"/>
  <c r="C9" i="4"/>
  <c r="D7" i="4"/>
  <c r="E7" i="4"/>
  <c r="F7" i="4"/>
  <c r="C7" i="4"/>
  <c r="D5" i="4"/>
  <c r="D43" i="4"/>
  <c r="E5" i="4"/>
  <c r="E43" i="4"/>
  <c r="F5" i="4"/>
  <c r="F43" i="4"/>
  <c r="C5" i="4"/>
  <c r="C43" i="4" s="1"/>
  <c r="D4" i="4"/>
  <c r="E4" i="4"/>
  <c r="F4" i="4"/>
  <c r="C4" i="4"/>
  <c r="C3" i="4"/>
  <c r="A3" i="4"/>
  <c r="D36" i="2"/>
  <c r="D36" i="4" s="1"/>
  <c r="E36" i="2"/>
  <c r="E40" i="2" s="1"/>
  <c r="E40" i="4" s="1"/>
  <c r="E36" i="4"/>
  <c r="F36" i="2"/>
  <c r="F36" i="4"/>
  <c r="C36" i="2"/>
  <c r="C36" i="4" s="1"/>
  <c r="D33" i="2"/>
  <c r="D33" i="4" s="1"/>
  <c r="E33" i="2"/>
  <c r="E33" i="4"/>
  <c r="F33" i="2"/>
  <c r="F33" i="4" s="1"/>
  <c r="C33" i="2"/>
  <c r="C33" i="4" s="1"/>
  <c r="D30" i="2"/>
  <c r="D30" i="4" s="1"/>
  <c r="E30" i="2"/>
  <c r="E30" i="4" s="1"/>
  <c r="F30" i="2"/>
  <c r="F30" i="4" s="1"/>
  <c r="C30" i="2"/>
  <c r="C30" i="4" s="1"/>
  <c r="C26" i="2"/>
  <c r="C26" i="4" s="1"/>
  <c r="E11" i="2"/>
  <c r="E8" i="2" s="1"/>
  <c r="E8" i="4" s="1"/>
  <c r="F11" i="2"/>
  <c r="F11" i="4" s="1"/>
  <c r="D11" i="2"/>
  <c r="D11" i="4" s="1"/>
  <c r="E12" i="4"/>
  <c r="F12" i="4"/>
  <c r="F40" i="2" l="1"/>
  <c r="F40" i="4" s="1"/>
  <c r="F8" i="2"/>
  <c r="F8" i="4" s="1"/>
  <c r="E11" i="4"/>
  <c r="C40" i="2"/>
  <c r="C40" i="4" s="1"/>
  <c r="D40" i="2"/>
  <c r="D40" i="4" s="1"/>
  <c r="E15" i="2"/>
  <c r="E45" i="4"/>
  <c r="D6" i="3"/>
  <c r="C6" i="3"/>
  <c r="D45" i="4"/>
  <c r="B6" i="3"/>
  <c r="C45" i="4"/>
  <c r="G45" i="4" s="1"/>
  <c r="G48" i="4" s="1"/>
  <c r="B11" i="3" s="1"/>
  <c r="E6" i="3"/>
  <c r="F45" i="4"/>
  <c r="D8" i="2"/>
  <c r="C44" i="4"/>
  <c r="C27" i="2"/>
  <c r="F15" i="2" l="1"/>
  <c r="E15" i="4"/>
  <c r="E16" i="2"/>
  <c r="C28" i="2"/>
  <c r="C27" i="4"/>
  <c r="C41" i="2"/>
  <c r="C41" i="4" s="1"/>
  <c r="F16" i="2"/>
  <c r="F16" i="4" s="1"/>
  <c r="F15" i="4"/>
  <c r="C46" i="4"/>
  <c r="D15" i="2"/>
  <c r="D8" i="4"/>
  <c r="F17" i="2" l="1"/>
  <c r="E17" i="2"/>
  <c r="E16" i="4"/>
  <c r="F18" i="2"/>
  <c r="F17" i="4"/>
  <c r="C28" i="4"/>
  <c r="D15" i="4"/>
  <c r="D16" i="2"/>
  <c r="D16" i="4" s="1"/>
  <c r="E18" i="2" l="1"/>
  <c r="E17" i="4"/>
  <c r="B7" i="3"/>
  <c r="D17" i="2"/>
  <c r="F27" i="2"/>
  <c r="F18" i="4"/>
  <c r="E18" i="4" l="1"/>
  <c r="E27" i="2"/>
  <c r="F44" i="4"/>
  <c r="E5" i="3"/>
  <c r="F27" i="4"/>
  <c r="F41" i="2"/>
  <c r="F41" i="4" s="1"/>
  <c r="D18" i="2"/>
  <c r="D17" i="4"/>
  <c r="D5" i="3" l="1"/>
  <c r="E44" i="4"/>
  <c r="E27" i="4"/>
  <c r="E41" i="2"/>
  <c r="E41" i="4" s="1"/>
  <c r="D27" i="2"/>
  <c r="D18" i="4"/>
  <c r="D27" i="4" l="1"/>
  <c r="G49" i="4" s="1"/>
  <c r="B12" i="3" s="1"/>
  <c r="D41" i="2"/>
  <c r="D41" i="4" s="1"/>
  <c r="D28" i="2"/>
  <c r="D44" i="4"/>
  <c r="C5" i="3"/>
  <c r="G50" i="4"/>
  <c r="B13" i="3" s="1"/>
  <c r="E28" i="2" l="1"/>
  <c r="D28" i="4"/>
  <c r="G44" i="4"/>
  <c r="G47" i="4" s="1"/>
  <c r="B10" i="3" s="1"/>
  <c r="D46" i="4"/>
  <c r="E46" i="4" l="1"/>
  <c r="F46" i="4" s="1"/>
  <c r="E28" i="4"/>
  <c r="D7" i="3" s="1"/>
  <c r="F28" i="2"/>
  <c r="F28" i="4" s="1"/>
  <c r="E7" i="3" s="1"/>
  <c r="C7" i="3"/>
  <c r="G51" i="4" l="1"/>
  <c r="B14" i="3" s="1"/>
  <c r="G52" i="4"/>
</calcChain>
</file>

<file path=xl/sharedStrings.xml><?xml version="1.0" encoding="utf-8"?>
<sst xmlns="http://schemas.openxmlformats.org/spreadsheetml/2006/main" count="100" uniqueCount="75">
  <si>
    <t>Финансовая модель проекта</t>
  </si>
  <si>
    <t>Показатели</t>
  </si>
  <si>
    <t>зарплата производственного персонала, тыс. руб.</t>
  </si>
  <si>
    <t>начисления на заработную плату, тыс.руб.</t>
  </si>
  <si>
    <t>административные расходы, тыс.руб.</t>
  </si>
  <si>
    <t>коммерческие расходы, тыс.руб.</t>
  </si>
  <si>
    <t>ОПЕРАЦИОННАЯ ДЕЯТЕЛЬНОСТЬ</t>
  </si>
  <si>
    <t>амортизационные отчисления, тыс.руб.</t>
  </si>
  <si>
    <r>
      <rPr>
        <b/>
        <sz val="11"/>
        <color indexed="8"/>
        <rFont val="Calibri"/>
        <family val="2"/>
        <charset val="204"/>
      </rPr>
      <t>Выручка</t>
    </r>
    <r>
      <rPr>
        <sz val="11"/>
        <color theme="1"/>
        <rFont val="Calibri"/>
        <family val="2"/>
        <charset val="204"/>
        <scheme val="minor"/>
      </rPr>
      <t>, тыс.руб.</t>
    </r>
  </si>
  <si>
    <r>
      <rPr>
        <b/>
        <sz val="11"/>
        <color indexed="8"/>
        <rFont val="Calibri"/>
        <family val="2"/>
        <charset val="204"/>
      </rPr>
      <t>Себестоимость</t>
    </r>
    <r>
      <rPr>
        <sz val="11"/>
        <color theme="1"/>
        <rFont val="Calibri"/>
        <family val="2"/>
        <charset val="204"/>
        <scheme val="minor"/>
      </rPr>
      <t>, в т.ч.:</t>
    </r>
  </si>
  <si>
    <t>Налог на прибыль, тыс.руб.</t>
  </si>
  <si>
    <t>Денежный поток от операционной деятельности</t>
  </si>
  <si>
    <r>
      <rPr>
        <i/>
        <sz val="11"/>
        <color indexed="8"/>
        <rFont val="Calibri"/>
        <family val="2"/>
        <charset val="204"/>
      </rPr>
      <t>Налогооблагаемая прибыль</t>
    </r>
    <r>
      <rPr>
        <sz val="11"/>
        <color theme="1"/>
        <rFont val="Calibri"/>
        <family val="2"/>
        <charset val="204"/>
        <scheme val="minor"/>
      </rPr>
      <t>, тыс. руб.</t>
    </r>
  </si>
  <si>
    <r>
      <rPr>
        <b/>
        <i/>
        <sz val="11"/>
        <color indexed="8"/>
        <rFont val="Calibri"/>
        <family val="2"/>
        <charset val="204"/>
      </rPr>
      <t>Чистая прибыль</t>
    </r>
    <r>
      <rPr>
        <sz val="11"/>
        <color theme="1"/>
        <rFont val="Calibri"/>
        <family val="2"/>
        <charset val="204"/>
        <scheme val="minor"/>
      </rPr>
      <t>, тыс.руб</t>
    </r>
  </si>
  <si>
    <t>ИНВЕСТИЦИОННАЯ ДЕЯТЕЛЬНОСТЬ</t>
  </si>
  <si>
    <t xml:space="preserve">Стоимость патентного поиска </t>
  </si>
  <si>
    <t>материалы и комплектующие, тыс.руб.</t>
  </si>
  <si>
    <t xml:space="preserve">Предпроизводственный маркетинг </t>
  </si>
  <si>
    <t>Затраты на подготовку коммерческого предложения</t>
  </si>
  <si>
    <t>Стоимость заключения лицензионного договора</t>
  </si>
  <si>
    <t>Другое</t>
  </si>
  <si>
    <t>Денежный поток от инвестиционной деятельности</t>
  </si>
  <si>
    <t>Чистый денежный поток по двум видам деятельности</t>
  </si>
  <si>
    <t>Коэффициент приведения</t>
  </si>
  <si>
    <t>Стоимость оборудования</t>
  </si>
  <si>
    <t>ФИНАНСОВАЯ ДЕЯТЕЛЬНОСТЬ</t>
  </si>
  <si>
    <t>Вклад в уставной капитал</t>
  </si>
  <si>
    <t>Поступления собственного капитала</t>
  </si>
  <si>
    <t>Целевое финансирование</t>
  </si>
  <si>
    <t>Поступления от заемного финансирования</t>
  </si>
  <si>
    <t>вид финансирования 1</t>
  </si>
  <si>
    <t>вид финансирования 2</t>
  </si>
  <si>
    <t>Возврат заемных средств</t>
  </si>
  <si>
    <t>Выплата процентов по заемным средствам</t>
  </si>
  <si>
    <t>Денежный поток от финансовой деятельности</t>
  </si>
  <si>
    <t>Кумулятивный чистый денежный поток по двум видам деятельности</t>
  </si>
  <si>
    <t>Полный денежный поток</t>
  </si>
  <si>
    <t>Периоды проекта (год)</t>
  </si>
  <si>
    <t>Выплаты</t>
  </si>
  <si>
    <t>Ячейки, выделенные красным цветом, не заполнять!</t>
  </si>
  <si>
    <t>Номер периода</t>
  </si>
  <si>
    <t>Нормативные или задаваемые авторами проекта показатели</t>
  </si>
  <si>
    <t>Норма  дисконта, %</t>
  </si>
  <si>
    <t>Дисконтированный денежный поток от ОД, тыс. руб.</t>
  </si>
  <si>
    <t>Дисконтированный денежный поток от ИД, тыс. руб.</t>
  </si>
  <si>
    <t>NPV, тыс. руб.</t>
  </si>
  <si>
    <t>ROI,%</t>
  </si>
  <si>
    <t>PB, лет</t>
  </si>
  <si>
    <t>PI, коэф.</t>
  </si>
  <si>
    <t>Кумулятивный ДДП, тыс. руб.</t>
  </si>
  <si>
    <t>Оценка инвестиционной привлекательности проекта</t>
  </si>
  <si>
    <t>Период проекта</t>
  </si>
  <si>
    <t>IRR,%</t>
  </si>
  <si>
    <t xml:space="preserve">Ставка дисконтирования ,% </t>
  </si>
  <si>
    <t>Стоимость оборудования, тыс. руб.</t>
  </si>
  <si>
    <t>Предпроизводственный маркетинг, тыс. руб.</t>
  </si>
  <si>
    <t>Стоимость патентного поиска, тыс. руб.</t>
  </si>
  <si>
    <t>Затраты на подготовку коммерческого предложения, тыс. руб.</t>
  </si>
  <si>
    <t>Стоимость заключения лицензионного договора, тыс. руб.</t>
  </si>
  <si>
    <t>Другое, тыс. руб.</t>
  </si>
  <si>
    <t>Административные расходы, тыс.руб.</t>
  </si>
  <si>
    <t>Коммерческие расходы, тыс.руб.</t>
  </si>
  <si>
    <r>
      <rPr>
        <b/>
        <sz val="18"/>
        <color indexed="8"/>
        <rFont val="Times New Roman"/>
        <family val="1"/>
        <charset val="204"/>
      </rPr>
      <t xml:space="preserve">Чистый доход по проекту, тыс.руб. </t>
    </r>
    <r>
      <rPr>
        <sz val="18"/>
        <color indexed="8"/>
        <rFont val="Times New Roman"/>
        <family val="1"/>
        <charset val="204"/>
      </rPr>
      <t>(ДП от операц.деят-ти)</t>
    </r>
  </si>
  <si>
    <r>
      <t xml:space="preserve">Инвестиционные затраты, тыс.руб.  </t>
    </r>
    <r>
      <rPr>
        <sz val="18"/>
        <color indexed="8"/>
        <rFont val="Times New Roman"/>
        <family val="1"/>
        <charset val="204"/>
      </rPr>
      <t>(ДП от инвестиц.деят-ти)</t>
    </r>
  </si>
  <si>
    <t>DPB, лет</t>
  </si>
  <si>
    <r>
      <rPr>
        <b/>
        <sz val="18"/>
        <color indexed="8"/>
        <rFont val="Times New Roman"/>
        <family val="1"/>
        <charset val="204"/>
      </rPr>
      <t xml:space="preserve">Кумулятивный денежный поток, тыс.руб. </t>
    </r>
    <r>
      <rPr>
        <sz val="18"/>
        <color indexed="8"/>
        <rFont val="Times New Roman"/>
        <family val="1"/>
        <charset val="204"/>
      </rPr>
      <t xml:space="preserve"> (без финансирования)</t>
    </r>
  </si>
  <si>
    <t>Вклад в уставной капитал, тыс.руб.</t>
  </si>
  <si>
    <t>Целевое финансирование, тыс.руб.</t>
  </si>
  <si>
    <t>вид финансирования 1, тыс.руб.</t>
  </si>
  <si>
    <t>вид финансирования 2, тыс.руб.</t>
  </si>
  <si>
    <t>Возврат заемных средств, тыс.руб.</t>
  </si>
  <si>
    <t>Выплата процентов по заемным средствам, тыс.руб.</t>
  </si>
  <si>
    <t>Другое, тыс.руб.</t>
  </si>
  <si>
    <t>Коэффициент дисконтирования</t>
  </si>
  <si>
    <t>детальные расчеты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</si>
</sst>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4" x14ac:knownFonts="1">
    <font>
      <sz val="11"/>
      <color theme="1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i/>
      <sz val="11"/>
      <color indexed="8"/>
      <name val="Calibri"/>
      <family val="2"/>
      <charset val="204"/>
    </font>
    <font>
      <b/>
      <i/>
      <sz val="11"/>
      <color indexed="8"/>
      <name val="Calibri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18"/>
      <color theme="1"/>
      <name val="Times New Roman"/>
      <family val="1"/>
      <charset val="204"/>
    </font>
    <font>
      <b/>
      <i/>
      <sz val="11"/>
      <color rgb="FF0070C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26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6" fillId="0" borderId="1" xfId="0" applyFont="1" applyBorder="1"/>
    <xf numFmtId="0" fontId="0" fillId="0" borderId="1" xfId="0" applyBorder="1" applyAlignment="1">
      <alignment wrapText="1" readingOrder="1"/>
    </xf>
    <xf numFmtId="0" fontId="11" fillId="0" borderId="1" xfId="0" applyFont="1" applyBorder="1"/>
    <xf numFmtId="0" fontId="12" fillId="0" borderId="1" xfId="0" applyFont="1" applyBorder="1"/>
    <xf numFmtId="0" fontId="13" fillId="0" borderId="1" xfId="0" applyFont="1" applyBorder="1"/>
    <xf numFmtId="0" fontId="13" fillId="0" borderId="0" xfId="0" applyFont="1"/>
    <xf numFmtId="0" fontId="14" fillId="0" borderId="1" xfId="0" applyFont="1" applyBorder="1"/>
    <xf numFmtId="0" fontId="14" fillId="0" borderId="0" xfId="0" applyFont="1"/>
    <xf numFmtId="0" fontId="15" fillId="0" borderId="0" xfId="0" applyFont="1"/>
    <xf numFmtId="0" fontId="15" fillId="0" borderId="1" xfId="0" applyFont="1" applyBorder="1" applyAlignment="1">
      <alignment wrapText="1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16" fillId="0" borderId="0" xfId="0" applyFont="1"/>
    <xf numFmtId="0" fontId="17" fillId="0" borderId="2" xfId="0" applyFont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 vertical="center"/>
    </xf>
    <xf numFmtId="2" fontId="6" fillId="2" borderId="1" xfId="0" applyNumberFormat="1" applyFont="1" applyFill="1" applyBorder="1"/>
    <xf numFmtId="2" fontId="0" fillId="2" borderId="1" xfId="0" applyNumberFormat="1" applyFill="1" applyBorder="1"/>
    <xf numFmtId="0" fontId="6" fillId="2" borderId="1" xfId="0" applyFont="1" applyFill="1" applyBorder="1"/>
    <xf numFmtId="164" fontId="0" fillId="3" borderId="1" xfId="0" applyNumberFormat="1" applyFill="1" applyBorder="1" applyAlignment="1">
      <alignment horizontal="center"/>
    </xf>
    <xf numFmtId="164" fontId="7" fillId="3" borderId="1" xfId="0" applyNumberFormat="1" applyFont="1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8" fillId="0" borderId="1" xfId="0" applyFont="1" applyBorder="1"/>
    <xf numFmtId="0" fontId="0" fillId="4" borderId="1" xfId="0" applyFill="1" applyBorder="1" applyAlignment="1">
      <alignment horizontal="center"/>
    </xf>
    <xf numFmtId="0" fontId="19" fillId="0" borderId="1" xfId="0" applyFont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10" fontId="0" fillId="2" borderId="1" xfId="0" applyNumberFormat="1" applyFill="1" applyBorder="1"/>
    <xf numFmtId="0" fontId="19" fillId="0" borderId="1" xfId="0" applyFont="1" applyBorder="1" applyAlignment="1">
      <alignment horizontal="left"/>
    </xf>
    <xf numFmtId="1" fontId="15" fillId="0" borderId="0" xfId="0" applyNumberFormat="1" applyFont="1"/>
    <xf numFmtId="0" fontId="20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20" fillId="0" borderId="1" xfId="0" applyFont="1" applyBorder="1"/>
    <xf numFmtId="0" fontId="5" fillId="0" borderId="1" xfId="0" applyFont="1" applyBorder="1"/>
    <xf numFmtId="0" fontId="21" fillId="0" borderId="1" xfId="0" applyFont="1" applyBorder="1"/>
    <xf numFmtId="0" fontId="11" fillId="2" borderId="1" xfId="0" applyFont="1" applyFill="1" applyBorder="1"/>
    <xf numFmtId="2" fontId="11" fillId="2" borderId="1" xfId="0" applyNumberFormat="1" applyFont="1" applyFill="1" applyBorder="1"/>
    <xf numFmtId="0" fontId="11" fillId="0" borderId="0" xfId="0" applyFont="1"/>
    <xf numFmtId="0" fontId="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7" fillId="0" borderId="0" xfId="0" applyFont="1" applyAlignment="1">
      <alignment horizontal="center"/>
    </xf>
    <xf numFmtId="0" fontId="22" fillId="0" borderId="3" xfId="0" applyFont="1" applyBorder="1" applyAlignment="1">
      <alignment horizontal="center" wrapText="1"/>
    </xf>
    <xf numFmtId="0" fontId="22" fillId="0" borderId="4" xfId="0" applyFont="1" applyBorder="1" applyAlignment="1">
      <alignment horizontal="center" wrapText="1"/>
    </xf>
    <xf numFmtId="0" fontId="22" fillId="0" borderId="5" xfId="0" applyFont="1" applyBorder="1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9" fillId="0" borderId="3" xfId="0" applyFont="1" applyBorder="1" applyAlignment="1">
      <alignment horizontal="center" wrapText="1"/>
    </xf>
    <xf numFmtId="0" fontId="19" fillId="0" borderId="4" xfId="0" applyFont="1" applyBorder="1" applyAlignment="1">
      <alignment horizontal="center" wrapText="1"/>
    </xf>
    <xf numFmtId="0" fontId="19" fillId="0" borderId="5" xfId="0" applyFont="1" applyBorder="1" applyAlignment="1">
      <alignment horizontal="center" wrapText="1"/>
    </xf>
    <xf numFmtId="1" fontId="20" fillId="0" borderId="1" xfId="0" applyNumberFormat="1" applyFont="1" applyBorder="1" applyAlignment="1">
      <alignment horizontal="center"/>
    </xf>
    <xf numFmtId="0" fontId="23" fillId="0" borderId="0" xfId="0" applyFont="1" applyAlignment="1">
      <alignment horizontal="center"/>
    </xf>
    <xf numFmtId="10" fontId="20" fillId="0" borderId="1" xfId="0" applyNumberFormat="1" applyFont="1" applyBorder="1" applyAlignment="1">
      <alignment horizontal="center"/>
    </xf>
    <xf numFmtId="2" fontId="20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3"/>
  <sheetViews>
    <sheetView topLeftCell="A10" workbookViewId="0">
      <selection activeCell="C5" sqref="C5"/>
    </sheetView>
  </sheetViews>
  <sheetFormatPr defaultRowHeight="15" x14ac:dyDescent="0.25"/>
  <cols>
    <col min="1" max="1" width="59.140625" customWidth="1"/>
    <col min="2" max="2" width="19.42578125" style="5" customWidth="1"/>
    <col min="3" max="3" width="7.7109375" style="5" customWidth="1"/>
    <col min="4" max="5" width="9.42578125" style="5" bestFit="1" customWidth="1"/>
    <col min="6" max="6" width="9.28515625" style="5" bestFit="1" customWidth="1"/>
    <col min="8" max="8" width="32.28515625" customWidth="1"/>
  </cols>
  <sheetData>
    <row r="1" spans="1:9" ht="18.75" x14ac:dyDescent="0.3">
      <c r="A1" s="54" t="s">
        <v>0</v>
      </c>
      <c r="B1" s="54"/>
      <c r="C1" s="54"/>
      <c r="D1" s="54"/>
      <c r="E1" s="54"/>
      <c r="F1" s="54"/>
    </row>
    <row r="2" spans="1:9" ht="18.75" x14ac:dyDescent="0.3">
      <c r="A2" s="20" t="s">
        <v>39</v>
      </c>
      <c r="B2" s="21"/>
      <c r="C2" s="21"/>
      <c r="D2" s="21"/>
      <c r="E2" s="21"/>
      <c r="F2" s="21"/>
      <c r="H2" s="52" t="s">
        <v>73</v>
      </c>
      <c r="I2" s="31">
        <v>0.2</v>
      </c>
    </row>
    <row r="3" spans="1:9" ht="15" customHeight="1" x14ac:dyDescent="0.25">
      <c r="A3" s="58" t="s">
        <v>1</v>
      </c>
      <c r="B3" s="55" t="s">
        <v>41</v>
      </c>
      <c r="C3" s="53" t="s">
        <v>37</v>
      </c>
      <c r="D3" s="53"/>
      <c r="E3" s="53"/>
      <c r="F3" s="53"/>
    </row>
    <row r="4" spans="1:9" x14ac:dyDescent="0.25">
      <c r="A4" s="59"/>
      <c r="B4" s="56"/>
      <c r="C4" s="7">
        <v>2019</v>
      </c>
      <c r="D4" s="7">
        <v>2020</v>
      </c>
      <c r="E4" s="7">
        <v>2021</v>
      </c>
      <c r="F4" s="7">
        <v>2022</v>
      </c>
    </row>
    <row r="5" spans="1:9" x14ac:dyDescent="0.25">
      <c r="A5" s="60"/>
      <c r="B5" s="57"/>
      <c r="C5" s="7">
        <v>0</v>
      </c>
      <c r="D5" s="7">
        <v>1</v>
      </c>
      <c r="E5" s="7">
        <v>2</v>
      </c>
      <c r="F5" s="7">
        <v>3</v>
      </c>
    </row>
    <row r="6" spans="1:9" x14ac:dyDescent="0.25">
      <c r="A6" s="8" t="s">
        <v>6</v>
      </c>
      <c r="B6" s="7"/>
      <c r="C6" s="7"/>
      <c r="D6" s="7"/>
      <c r="E6" s="7"/>
      <c r="F6" s="7"/>
    </row>
    <row r="7" spans="1:9" x14ac:dyDescent="0.25">
      <c r="A7" s="6" t="s">
        <v>8</v>
      </c>
      <c r="B7" s="7"/>
      <c r="C7" s="7"/>
      <c r="D7" s="7"/>
      <c r="E7" s="7"/>
      <c r="F7" s="7"/>
    </row>
    <row r="8" spans="1:9" x14ac:dyDescent="0.25">
      <c r="A8" s="6" t="s">
        <v>9</v>
      </c>
      <c r="B8" s="7"/>
      <c r="C8" s="19"/>
      <c r="D8" s="19">
        <f>SUM(D9:D14)</f>
        <v>0</v>
      </c>
      <c r="E8" s="19">
        <f>SUM(E9:E14)</f>
        <v>0</v>
      </c>
      <c r="F8" s="19">
        <f>SUM(F9:F14)</f>
        <v>0</v>
      </c>
    </row>
    <row r="9" spans="1:9" x14ac:dyDescent="0.25">
      <c r="A9" s="6" t="s">
        <v>16</v>
      </c>
      <c r="B9" s="7"/>
      <c r="C9" s="7"/>
      <c r="D9" s="7"/>
      <c r="E9" s="7"/>
      <c r="F9" s="7"/>
    </row>
    <row r="10" spans="1:9" x14ac:dyDescent="0.25">
      <c r="A10" s="6" t="s">
        <v>2</v>
      </c>
      <c r="B10" s="7"/>
      <c r="C10" s="7"/>
      <c r="D10" s="7"/>
      <c r="E10" s="7"/>
      <c r="F10" s="7"/>
    </row>
    <row r="11" spans="1:9" x14ac:dyDescent="0.25">
      <c r="A11" s="6" t="s">
        <v>3</v>
      </c>
      <c r="B11" s="29">
        <v>0.30199999999999999</v>
      </c>
      <c r="C11" s="19"/>
      <c r="D11" s="19">
        <f>D10*$B11</f>
        <v>0</v>
      </c>
      <c r="E11" s="19">
        <f>E10*$B11</f>
        <v>0</v>
      </c>
      <c r="F11" s="19">
        <f>F10*$B11</f>
        <v>0</v>
      </c>
    </row>
    <row r="12" spans="1:9" x14ac:dyDescent="0.25">
      <c r="A12" s="6" t="s">
        <v>7</v>
      </c>
      <c r="B12" s="30">
        <v>0.33300000000000002</v>
      </c>
      <c r="C12" s="7"/>
      <c r="D12" s="7"/>
      <c r="E12" s="7"/>
      <c r="F12" s="7"/>
    </row>
    <row r="13" spans="1:9" x14ac:dyDescent="0.25">
      <c r="A13" s="6" t="s">
        <v>60</v>
      </c>
      <c r="B13" s="7"/>
      <c r="C13" s="7"/>
      <c r="D13" s="7"/>
      <c r="E13" s="7"/>
      <c r="F13" s="7"/>
    </row>
    <row r="14" spans="1:9" x14ac:dyDescent="0.25">
      <c r="A14" s="6" t="s">
        <v>61</v>
      </c>
      <c r="B14" s="7"/>
      <c r="C14" s="7"/>
      <c r="D14" s="7"/>
      <c r="E14" s="7"/>
      <c r="F14" s="7"/>
    </row>
    <row r="15" spans="1:9" x14ac:dyDescent="0.25">
      <c r="A15" s="6" t="s">
        <v>12</v>
      </c>
      <c r="B15" s="7"/>
      <c r="C15" s="19"/>
      <c r="D15" s="19">
        <f>SUM(D7:D7)-D8</f>
        <v>0</v>
      </c>
      <c r="E15" s="19">
        <f>SUM(E7:E7)-E8</f>
        <v>0</v>
      </c>
      <c r="F15" s="19">
        <f>SUM(F7:F7)-F8</f>
        <v>0</v>
      </c>
    </row>
    <row r="16" spans="1:9" x14ac:dyDescent="0.25">
      <c r="A16" s="6" t="s">
        <v>10</v>
      </c>
      <c r="B16" s="31">
        <v>0.2</v>
      </c>
      <c r="C16" s="19"/>
      <c r="D16" s="19">
        <f>IF(D15&gt;0,D15*$B16,0)</f>
        <v>0</v>
      </c>
      <c r="E16" s="19">
        <f>IF(E15&gt;0,E15*$B16,0)</f>
        <v>0</v>
      </c>
      <c r="F16" s="19">
        <f>IF(F15&gt;0,F15*$B16,0)</f>
        <v>0</v>
      </c>
    </row>
    <row r="17" spans="1:6" x14ac:dyDescent="0.25">
      <c r="A17" s="6" t="s">
        <v>13</v>
      </c>
      <c r="B17" s="7"/>
      <c r="C17" s="19"/>
      <c r="D17" s="19">
        <f>D15-D16</f>
        <v>0</v>
      </c>
      <c r="E17" s="19">
        <f>E15-E16</f>
        <v>0</v>
      </c>
      <c r="F17" s="19">
        <f>F15-F16</f>
        <v>0</v>
      </c>
    </row>
    <row r="18" spans="1:6" s="13" customFormat="1" ht="15.75" x14ac:dyDescent="0.25">
      <c r="A18" s="12" t="s">
        <v>11</v>
      </c>
      <c r="B18" s="32"/>
      <c r="C18" s="19"/>
      <c r="D18" s="23">
        <f>D17+D12</f>
        <v>0</v>
      </c>
      <c r="E18" s="23">
        <f>E17+E12</f>
        <v>0</v>
      </c>
      <c r="F18" s="23">
        <f>F17+F12</f>
        <v>0</v>
      </c>
    </row>
    <row r="19" spans="1:6" x14ac:dyDescent="0.25">
      <c r="A19" s="8" t="s">
        <v>14</v>
      </c>
      <c r="B19" s="7"/>
      <c r="C19" s="7"/>
      <c r="D19" s="7"/>
      <c r="E19" s="7"/>
      <c r="F19" s="7"/>
    </row>
    <row r="20" spans="1:6" x14ac:dyDescent="0.25">
      <c r="A20" s="6" t="s">
        <v>54</v>
      </c>
      <c r="B20" s="7"/>
      <c r="C20" s="7"/>
      <c r="D20" s="7"/>
      <c r="E20" s="7"/>
      <c r="F20" s="7"/>
    </row>
    <row r="21" spans="1:6" x14ac:dyDescent="0.25">
      <c r="A21" s="6" t="s">
        <v>55</v>
      </c>
      <c r="B21" s="7"/>
      <c r="C21" s="7"/>
      <c r="D21" s="7"/>
      <c r="E21" s="7"/>
      <c r="F21" s="7"/>
    </row>
    <row r="22" spans="1:6" x14ac:dyDescent="0.25">
      <c r="A22" s="6" t="s">
        <v>56</v>
      </c>
      <c r="B22" s="7"/>
      <c r="C22" s="7"/>
      <c r="D22" s="7"/>
      <c r="E22" s="7"/>
      <c r="F22" s="7"/>
    </row>
    <row r="23" spans="1:6" x14ac:dyDescent="0.25">
      <c r="A23" s="6" t="s">
        <v>57</v>
      </c>
      <c r="B23" s="7"/>
      <c r="C23" s="7"/>
      <c r="D23" s="7"/>
      <c r="E23" s="7"/>
      <c r="F23" s="7"/>
    </row>
    <row r="24" spans="1:6" ht="15" customHeight="1" x14ac:dyDescent="0.25">
      <c r="A24" s="9" t="s">
        <v>58</v>
      </c>
      <c r="B24" s="7"/>
      <c r="C24" s="7"/>
      <c r="D24" s="7"/>
      <c r="E24" s="7"/>
      <c r="F24" s="7"/>
    </row>
    <row r="25" spans="1:6" x14ac:dyDescent="0.25">
      <c r="A25" s="6" t="s">
        <v>59</v>
      </c>
      <c r="B25" s="7"/>
      <c r="C25" s="7"/>
      <c r="D25" s="7"/>
      <c r="E25" s="7"/>
      <c r="F25" s="7"/>
    </row>
    <row r="26" spans="1:6" s="13" customFormat="1" ht="15.75" x14ac:dyDescent="0.25">
      <c r="A26" s="12" t="s">
        <v>21</v>
      </c>
      <c r="B26" s="32"/>
      <c r="C26" s="23">
        <f>-SUM(C20:C25)</f>
        <v>0</v>
      </c>
      <c r="D26" s="23">
        <f>-SUM(D20:D25)</f>
        <v>0</v>
      </c>
      <c r="E26" s="23">
        <f>-SUM(E20:E25)</f>
        <v>0</v>
      </c>
      <c r="F26" s="23">
        <f>-SUM(F20:F25)</f>
        <v>0</v>
      </c>
    </row>
    <row r="27" spans="1:6" s="15" customFormat="1" ht="15.75" x14ac:dyDescent="0.25">
      <c r="A27" s="14" t="s">
        <v>22</v>
      </c>
      <c r="B27" s="33"/>
      <c r="C27" s="24">
        <f>C18+C26</f>
        <v>0</v>
      </c>
      <c r="D27" s="24">
        <f>D18+D26</f>
        <v>0</v>
      </c>
      <c r="E27" s="24">
        <f>E18+E26</f>
        <v>0</v>
      </c>
      <c r="F27" s="24">
        <f>F18+F26</f>
        <v>0</v>
      </c>
    </row>
    <row r="28" spans="1:6" s="16" customFormat="1" ht="31.5" x14ac:dyDescent="0.25">
      <c r="A28" s="17" t="s">
        <v>35</v>
      </c>
      <c r="B28" s="34"/>
      <c r="C28" s="25">
        <f>C27</f>
        <v>0</v>
      </c>
      <c r="D28" s="25">
        <f>C28+D27</f>
        <v>0</v>
      </c>
      <c r="E28" s="25">
        <f>D28+E27</f>
        <v>0</v>
      </c>
      <c r="F28" s="25">
        <f>E28+F27</f>
        <v>0</v>
      </c>
    </row>
    <row r="29" spans="1:6" x14ac:dyDescent="0.25">
      <c r="A29" s="8" t="s">
        <v>25</v>
      </c>
      <c r="B29" s="7"/>
      <c r="C29" s="7"/>
      <c r="D29" s="7"/>
      <c r="E29" s="7"/>
      <c r="F29" s="7"/>
    </row>
    <row r="30" spans="1:6" x14ac:dyDescent="0.25">
      <c r="A30" s="11" t="s">
        <v>27</v>
      </c>
      <c r="B30" s="7"/>
      <c r="C30" s="19">
        <f>SUM(C31:C32)</f>
        <v>0</v>
      </c>
      <c r="D30" s="19">
        <f>SUM(D31:D32)</f>
        <v>0</v>
      </c>
      <c r="E30" s="19">
        <f>SUM(E31:E32)</f>
        <v>0</v>
      </c>
      <c r="F30" s="19">
        <f>SUM(F31:F32)</f>
        <v>0</v>
      </c>
    </row>
    <row r="31" spans="1:6" x14ac:dyDescent="0.25">
      <c r="A31" s="6" t="s">
        <v>66</v>
      </c>
      <c r="B31" s="7"/>
      <c r="C31" s="7"/>
      <c r="D31" s="7"/>
      <c r="E31" s="7"/>
      <c r="F31" s="7"/>
    </row>
    <row r="32" spans="1:6" x14ac:dyDescent="0.25">
      <c r="A32" s="6" t="s">
        <v>67</v>
      </c>
      <c r="B32" s="7"/>
      <c r="C32" s="7"/>
      <c r="D32" s="7"/>
      <c r="E32" s="7"/>
      <c r="F32" s="7"/>
    </row>
    <row r="33" spans="1:6" x14ac:dyDescent="0.25">
      <c r="A33" s="11" t="s">
        <v>29</v>
      </c>
      <c r="B33" s="7"/>
      <c r="C33" s="19">
        <f>SUM(C34:C35)</f>
        <v>0</v>
      </c>
      <c r="D33" s="19">
        <f>SUM(D34:D35)</f>
        <v>0</v>
      </c>
      <c r="E33" s="19">
        <f>SUM(E34:E35)</f>
        <v>0</v>
      </c>
      <c r="F33" s="19">
        <f>SUM(F34:F35)</f>
        <v>0</v>
      </c>
    </row>
    <row r="34" spans="1:6" x14ac:dyDescent="0.25">
      <c r="A34" s="6" t="s">
        <v>68</v>
      </c>
      <c r="B34" s="7"/>
      <c r="C34" s="7"/>
      <c r="D34" s="7"/>
      <c r="E34" s="7"/>
      <c r="F34" s="7"/>
    </row>
    <row r="35" spans="1:6" x14ac:dyDescent="0.25">
      <c r="A35" s="6" t="s">
        <v>69</v>
      </c>
      <c r="B35" s="7"/>
      <c r="C35" s="7"/>
      <c r="D35" s="7"/>
      <c r="E35" s="7"/>
      <c r="F35" s="7"/>
    </row>
    <row r="36" spans="1:6" x14ac:dyDescent="0.25">
      <c r="A36" s="11" t="s">
        <v>38</v>
      </c>
      <c r="B36" s="7"/>
      <c r="C36" s="19">
        <f>SUM(C37:C39)</f>
        <v>0</v>
      </c>
      <c r="D36" s="19">
        <f>SUM(D37:D39)</f>
        <v>0</v>
      </c>
      <c r="E36" s="19">
        <f>SUM(E37:E39)</f>
        <v>0</v>
      </c>
      <c r="F36" s="19">
        <f>SUM(F37:F39)</f>
        <v>0</v>
      </c>
    </row>
    <row r="37" spans="1:6" x14ac:dyDescent="0.25">
      <c r="A37" s="6" t="s">
        <v>70</v>
      </c>
      <c r="B37" s="7"/>
      <c r="C37" s="7"/>
      <c r="D37" s="7"/>
      <c r="E37" s="7"/>
      <c r="F37" s="7"/>
    </row>
    <row r="38" spans="1:6" x14ac:dyDescent="0.25">
      <c r="A38" s="6" t="s">
        <v>71</v>
      </c>
      <c r="B38" s="7"/>
      <c r="C38" s="7"/>
      <c r="D38" s="7"/>
      <c r="E38" s="7"/>
      <c r="F38" s="7"/>
    </row>
    <row r="39" spans="1:6" x14ac:dyDescent="0.25">
      <c r="A39" s="6" t="s">
        <v>72</v>
      </c>
      <c r="B39" s="7"/>
      <c r="C39" s="7"/>
      <c r="D39" s="7"/>
      <c r="E39" s="7"/>
      <c r="F39" s="7"/>
    </row>
    <row r="40" spans="1:6" x14ac:dyDescent="0.25">
      <c r="A40" s="8" t="s">
        <v>34</v>
      </c>
      <c r="B40" s="7"/>
      <c r="C40" s="19">
        <f>C30+C33-C36</f>
        <v>0</v>
      </c>
      <c r="D40" s="19">
        <f>D30+D33-D36</f>
        <v>0</v>
      </c>
      <c r="E40" s="19">
        <f>E30+E33-E36</f>
        <v>0</v>
      </c>
      <c r="F40" s="19">
        <f>F30+F33-F36</f>
        <v>0</v>
      </c>
    </row>
    <row r="41" spans="1:6" x14ac:dyDescent="0.25">
      <c r="A41" s="10" t="s">
        <v>36</v>
      </c>
      <c r="B41" s="7"/>
      <c r="C41" s="19">
        <f>C27+C40</f>
        <v>0</v>
      </c>
      <c r="D41" s="19">
        <f>D27+D40</f>
        <v>0</v>
      </c>
      <c r="E41" s="19">
        <f>E27+E40</f>
        <v>0</v>
      </c>
      <c r="F41" s="19">
        <f>F27+F40</f>
        <v>0</v>
      </c>
    </row>
    <row r="43" spans="1:6" s="4" customFormat="1" x14ac:dyDescent="0.25">
      <c r="B43" s="35"/>
      <c r="C43" s="35"/>
      <c r="D43" s="35"/>
      <c r="E43" s="35"/>
      <c r="F43" s="35"/>
    </row>
  </sheetData>
  <mergeCells count="4">
    <mergeCell ref="C3:F3"/>
    <mergeCell ref="A1:F1"/>
    <mergeCell ref="B3:B5"/>
    <mergeCell ref="A3:A5"/>
  </mergeCells>
  <pageMargins left="0.7" right="0.7" top="0.75" bottom="0.75" header="0.3" footer="0.3"/>
  <pageSetup paperSize="9" orientation="portrait" horizont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52"/>
  <sheetViews>
    <sheetView zoomScaleNormal="100" workbookViewId="0">
      <selection activeCell="F4" sqref="F4"/>
    </sheetView>
  </sheetViews>
  <sheetFormatPr defaultRowHeight="15" x14ac:dyDescent="0.25"/>
  <cols>
    <col min="1" max="1" width="59.140625" customWidth="1"/>
    <col min="2" max="2" width="14.7109375" customWidth="1"/>
    <col min="3" max="3" width="7.7109375" customWidth="1"/>
    <col min="4" max="5" width="9.42578125" bestFit="1" customWidth="1"/>
    <col min="6" max="6" width="9.28515625" bestFit="1" customWidth="1"/>
    <col min="7" max="7" width="16.42578125" customWidth="1"/>
  </cols>
  <sheetData>
    <row r="1" spans="1:7" ht="18.75" x14ac:dyDescent="0.3">
      <c r="A1" s="54" t="s">
        <v>0</v>
      </c>
      <c r="B1" s="54"/>
      <c r="C1" s="54"/>
      <c r="D1" s="54"/>
      <c r="E1" s="54"/>
      <c r="F1" s="54"/>
      <c r="G1" t="s">
        <v>74</v>
      </c>
    </row>
    <row r="2" spans="1:7" ht="18.75" x14ac:dyDescent="0.3">
      <c r="A2" s="20" t="s">
        <v>39</v>
      </c>
      <c r="B2" s="21"/>
      <c r="C2" s="21"/>
      <c r="D2" s="21"/>
      <c r="E2" s="21"/>
      <c r="F2" s="21"/>
    </row>
    <row r="3" spans="1:7" x14ac:dyDescent="0.25">
      <c r="A3" s="53" t="str">
        <f>'Денежные потоки'!A3:A4</f>
        <v>Показатели</v>
      </c>
      <c r="B3" s="61" t="str">
        <f>'Денежные потоки'!B3:B5</f>
        <v>Нормативные или задаваемые авторами проекта показатели</v>
      </c>
      <c r="C3" s="53" t="str">
        <f>'Денежные потоки'!C3:F3</f>
        <v>Периоды проекта (год)</v>
      </c>
      <c r="D3" s="53"/>
      <c r="E3" s="53"/>
      <c r="F3" s="53"/>
    </row>
    <row r="4" spans="1:7" x14ac:dyDescent="0.25">
      <c r="A4" s="53"/>
      <c r="B4" s="62"/>
      <c r="C4" s="7">
        <f>'Денежные потоки'!C4</f>
        <v>2019</v>
      </c>
      <c r="D4" s="7">
        <f>'Денежные потоки'!D4</f>
        <v>2020</v>
      </c>
      <c r="E4" s="7">
        <f>'Денежные потоки'!E4</f>
        <v>2021</v>
      </c>
      <c r="F4" s="7">
        <f>'Денежные потоки'!F4</f>
        <v>2022</v>
      </c>
    </row>
    <row r="5" spans="1:7" x14ac:dyDescent="0.25">
      <c r="A5" s="42" t="s">
        <v>40</v>
      </c>
      <c r="B5" s="63"/>
      <c r="C5" s="38">
        <f>'Денежные потоки'!C5</f>
        <v>0</v>
      </c>
      <c r="D5" s="38">
        <f>'Денежные потоки'!D5</f>
        <v>1</v>
      </c>
      <c r="E5" s="38">
        <f>'Денежные потоки'!E5</f>
        <v>2</v>
      </c>
      <c r="F5" s="38">
        <f>'Денежные потоки'!F5</f>
        <v>3</v>
      </c>
    </row>
    <row r="6" spans="1:7" x14ac:dyDescent="0.25">
      <c r="A6" s="8" t="s">
        <v>6</v>
      </c>
      <c r="B6" s="7"/>
      <c r="C6" s="37"/>
      <c r="D6" s="37"/>
      <c r="E6" s="37"/>
      <c r="F6" s="37"/>
    </row>
    <row r="7" spans="1:7" x14ac:dyDescent="0.25">
      <c r="A7" s="6" t="s">
        <v>8</v>
      </c>
      <c r="B7" s="7"/>
      <c r="C7" s="37">
        <f>'Денежные потоки'!C7</f>
        <v>0</v>
      </c>
      <c r="D7" s="37">
        <f>'Денежные потоки'!D7</f>
        <v>0</v>
      </c>
      <c r="E7" s="37">
        <f>'Денежные потоки'!E7</f>
        <v>0</v>
      </c>
      <c r="F7" s="37">
        <f>'Денежные потоки'!F7</f>
        <v>0</v>
      </c>
    </row>
    <row r="8" spans="1:7" x14ac:dyDescent="0.25">
      <c r="A8" s="6" t="s">
        <v>9</v>
      </c>
      <c r="B8" s="7"/>
      <c r="C8" s="19">
        <f>'Денежные потоки'!C8</f>
        <v>0</v>
      </c>
      <c r="D8" s="19">
        <f>'Денежные потоки'!D8</f>
        <v>0</v>
      </c>
      <c r="E8" s="19">
        <f>'Денежные потоки'!E8</f>
        <v>0</v>
      </c>
      <c r="F8" s="19">
        <f>'Денежные потоки'!F8</f>
        <v>0</v>
      </c>
    </row>
    <row r="9" spans="1:7" x14ac:dyDescent="0.25">
      <c r="A9" s="6" t="s">
        <v>16</v>
      </c>
      <c r="B9" s="7"/>
      <c r="C9" s="37">
        <f>'Денежные потоки'!C9</f>
        <v>0</v>
      </c>
      <c r="D9" s="37">
        <f>'Денежные потоки'!D9</f>
        <v>0</v>
      </c>
      <c r="E9" s="37">
        <f>'Денежные потоки'!E9</f>
        <v>0</v>
      </c>
      <c r="F9" s="37">
        <f>'Денежные потоки'!F9</f>
        <v>0</v>
      </c>
    </row>
    <row r="10" spans="1:7" x14ac:dyDescent="0.25">
      <c r="A10" s="6" t="s">
        <v>2</v>
      </c>
      <c r="B10" s="7"/>
      <c r="C10" s="37">
        <f>'Денежные потоки'!C10</f>
        <v>0</v>
      </c>
      <c r="D10" s="37">
        <f>'Денежные потоки'!D10</f>
        <v>0</v>
      </c>
      <c r="E10" s="37">
        <f>'Денежные потоки'!E10</f>
        <v>0</v>
      </c>
      <c r="F10" s="37">
        <f>'Денежные потоки'!F10</f>
        <v>0</v>
      </c>
    </row>
    <row r="11" spans="1:7" x14ac:dyDescent="0.25">
      <c r="A11" s="6" t="s">
        <v>3</v>
      </c>
      <c r="B11" s="39">
        <f>'Денежные потоки'!B11</f>
        <v>0.30199999999999999</v>
      </c>
      <c r="C11" s="19">
        <f>'Денежные потоки'!C11</f>
        <v>0</v>
      </c>
      <c r="D11" s="19">
        <f>'Денежные потоки'!D11</f>
        <v>0</v>
      </c>
      <c r="E11" s="19">
        <f>'Денежные потоки'!E11</f>
        <v>0</v>
      </c>
      <c r="F11" s="19">
        <f>'Денежные потоки'!F11</f>
        <v>0</v>
      </c>
    </row>
    <row r="12" spans="1:7" x14ac:dyDescent="0.25">
      <c r="A12" s="6" t="s">
        <v>7</v>
      </c>
      <c r="B12" s="39">
        <f>'Денежные потоки'!B12</f>
        <v>0.33300000000000002</v>
      </c>
      <c r="C12" s="37">
        <f>'Денежные потоки'!C12</f>
        <v>0</v>
      </c>
      <c r="D12" s="37">
        <f>'Денежные потоки'!D12</f>
        <v>0</v>
      </c>
      <c r="E12" s="37">
        <f>'Денежные потоки'!E12</f>
        <v>0</v>
      </c>
      <c r="F12" s="37">
        <f>'Денежные потоки'!F12</f>
        <v>0</v>
      </c>
    </row>
    <row r="13" spans="1:7" x14ac:dyDescent="0.25">
      <c r="A13" s="6" t="s">
        <v>4</v>
      </c>
      <c r="B13" s="7"/>
      <c r="C13" s="37">
        <f>'Денежные потоки'!C13</f>
        <v>0</v>
      </c>
      <c r="D13" s="37">
        <f>'Денежные потоки'!D13</f>
        <v>0</v>
      </c>
      <c r="E13" s="37">
        <f>'Денежные потоки'!E13</f>
        <v>0</v>
      </c>
      <c r="F13" s="37">
        <f>'Денежные потоки'!F13</f>
        <v>0</v>
      </c>
    </row>
    <row r="14" spans="1:7" x14ac:dyDescent="0.25">
      <c r="A14" s="6" t="s">
        <v>5</v>
      </c>
      <c r="B14" s="7"/>
      <c r="C14" s="37">
        <f>'Денежные потоки'!C14</f>
        <v>0</v>
      </c>
      <c r="D14" s="37">
        <f>'Денежные потоки'!D14</f>
        <v>0</v>
      </c>
      <c r="E14" s="37">
        <f>'Денежные потоки'!E14</f>
        <v>0</v>
      </c>
      <c r="F14" s="37">
        <f>'Денежные потоки'!F14</f>
        <v>0</v>
      </c>
    </row>
    <row r="15" spans="1:7" x14ac:dyDescent="0.25">
      <c r="A15" s="6" t="s">
        <v>12</v>
      </c>
      <c r="B15" s="7"/>
      <c r="C15" s="19">
        <f>'Денежные потоки'!C15</f>
        <v>0</v>
      </c>
      <c r="D15" s="19">
        <f>'Денежные потоки'!D15</f>
        <v>0</v>
      </c>
      <c r="E15" s="19">
        <f>'Денежные потоки'!E15</f>
        <v>0</v>
      </c>
      <c r="F15" s="19">
        <f>'Денежные потоки'!F15</f>
        <v>0</v>
      </c>
    </row>
    <row r="16" spans="1:7" x14ac:dyDescent="0.25">
      <c r="A16" s="6" t="s">
        <v>10</v>
      </c>
      <c r="B16" s="39">
        <f>'Денежные потоки'!B16</f>
        <v>0.2</v>
      </c>
      <c r="C16" s="19">
        <f>'Денежные потоки'!C16</f>
        <v>0</v>
      </c>
      <c r="D16" s="19">
        <f>'Денежные потоки'!D16</f>
        <v>0</v>
      </c>
      <c r="E16" s="19">
        <f>'Денежные потоки'!E16</f>
        <v>0</v>
      </c>
      <c r="F16" s="19">
        <f>'Денежные потоки'!F16</f>
        <v>0</v>
      </c>
    </row>
    <row r="17" spans="1:7" x14ac:dyDescent="0.25">
      <c r="A17" s="6" t="s">
        <v>13</v>
      </c>
      <c r="B17" s="7"/>
      <c r="C17" s="19">
        <f>'Денежные потоки'!C17</f>
        <v>0</v>
      </c>
      <c r="D17" s="19">
        <f>'Денежные потоки'!D17</f>
        <v>0</v>
      </c>
      <c r="E17" s="19">
        <f>'Денежные потоки'!E17</f>
        <v>0</v>
      </c>
      <c r="F17" s="19">
        <f>'Денежные потоки'!F17</f>
        <v>0</v>
      </c>
    </row>
    <row r="18" spans="1:7" s="13" customFormat="1" ht="15.75" x14ac:dyDescent="0.25">
      <c r="A18" s="12" t="s">
        <v>11</v>
      </c>
      <c r="B18" s="7"/>
      <c r="C18" s="19">
        <f>'Денежные потоки'!C18</f>
        <v>0</v>
      </c>
      <c r="D18" s="19">
        <f>'Денежные потоки'!D18</f>
        <v>0</v>
      </c>
      <c r="E18" s="19">
        <f>'Денежные потоки'!E18</f>
        <v>0</v>
      </c>
      <c r="F18" s="19">
        <f>'Денежные потоки'!F18</f>
        <v>0</v>
      </c>
    </row>
    <row r="19" spans="1:7" x14ac:dyDescent="0.25">
      <c r="A19" s="8" t="s">
        <v>14</v>
      </c>
      <c r="B19" s="7"/>
      <c r="C19" s="37">
        <f>'Денежные потоки'!C19</f>
        <v>0</v>
      </c>
      <c r="D19" s="37">
        <f>'Денежные потоки'!D19</f>
        <v>0</v>
      </c>
      <c r="E19" s="37">
        <f>'Денежные потоки'!E19</f>
        <v>0</v>
      </c>
      <c r="F19" s="37">
        <f>'Денежные потоки'!F19</f>
        <v>0</v>
      </c>
    </row>
    <row r="20" spans="1:7" x14ac:dyDescent="0.25">
      <c r="A20" s="6" t="s">
        <v>24</v>
      </c>
      <c r="B20" s="7"/>
      <c r="C20" s="37">
        <f>'Денежные потоки'!C20</f>
        <v>0</v>
      </c>
      <c r="D20" s="37">
        <f>'Денежные потоки'!D20</f>
        <v>0</v>
      </c>
      <c r="E20" s="37">
        <f>'Денежные потоки'!E20</f>
        <v>0</v>
      </c>
      <c r="F20" s="37">
        <f>'Денежные потоки'!F20</f>
        <v>0</v>
      </c>
    </row>
    <row r="21" spans="1:7" x14ac:dyDescent="0.25">
      <c r="A21" s="6" t="s">
        <v>17</v>
      </c>
      <c r="B21" s="7"/>
      <c r="C21" s="37">
        <f>'Денежные потоки'!C21</f>
        <v>0</v>
      </c>
      <c r="D21" s="37">
        <f>'Денежные потоки'!D21</f>
        <v>0</v>
      </c>
      <c r="E21" s="37">
        <f>'Денежные потоки'!E21</f>
        <v>0</v>
      </c>
      <c r="F21" s="37">
        <f>'Денежные потоки'!F21</f>
        <v>0</v>
      </c>
    </row>
    <row r="22" spans="1:7" x14ac:dyDescent="0.25">
      <c r="A22" s="6" t="s">
        <v>15</v>
      </c>
      <c r="B22" s="7"/>
      <c r="C22" s="37">
        <f>'Денежные потоки'!C22</f>
        <v>0</v>
      </c>
      <c r="D22" s="37">
        <f>'Денежные потоки'!D22</f>
        <v>0</v>
      </c>
      <c r="E22" s="37">
        <f>'Денежные потоки'!E22</f>
        <v>0</v>
      </c>
      <c r="F22" s="37">
        <f>'Денежные потоки'!F22</f>
        <v>0</v>
      </c>
    </row>
    <row r="23" spans="1:7" x14ac:dyDescent="0.25">
      <c r="A23" s="6" t="s">
        <v>18</v>
      </c>
      <c r="B23" s="7"/>
      <c r="C23" s="37">
        <f>'Денежные потоки'!C23</f>
        <v>0</v>
      </c>
      <c r="D23" s="37">
        <f>'Денежные потоки'!D23</f>
        <v>0</v>
      </c>
      <c r="E23" s="37">
        <f>'Денежные потоки'!E23</f>
        <v>0</v>
      </c>
      <c r="F23" s="37">
        <f>'Денежные потоки'!F23</f>
        <v>0</v>
      </c>
    </row>
    <row r="24" spans="1:7" ht="15" customHeight="1" x14ac:dyDescent="0.25">
      <c r="A24" s="9" t="s">
        <v>19</v>
      </c>
      <c r="B24" s="7"/>
      <c r="C24" s="37">
        <f>'Денежные потоки'!C24</f>
        <v>0</v>
      </c>
      <c r="D24" s="37">
        <f>'Денежные потоки'!D24</f>
        <v>0</v>
      </c>
      <c r="E24" s="37">
        <f>'Денежные потоки'!E24</f>
        <v>0</v>
      </c>
      <c r="F24" s="37">
        <f>'Денежные потоки'!F24</f>
        <v>0</v>
      </c>
    </row>
    <row r="25" spans="1:7" x14ac:dyDescent="0.25">
      <c r="A25" s="6" t="s">
        <v>20</v>
      </c>
      <c r="B25" s="7"/>
      <c r="C25" s="37">
        <f>'Денежные потоки'!C25</f>
        <v>0</v>
      </c>
      <c r="D25" s="37">
        <f>'Денежные потоки'!D25</f>
        <v>0</v>
      </c>
      <c r="E25" s="37">
        <f>'Денежные потоки'!E25</f>
        <v>0</v>
      </c>
      <c r="F25" s="37">
        <f>'Денежные потоки'!F25</f>
        <v>0</v>
      </c>
    </row>
    <row r="26" spans="1:7" s="13" customFormat="1" ht="15.75" x14ac:dyDescent="0.25">
      <c r="A26" s="12" t="s">
        <v>21</v>
      </c>
      <c r="B26" s="7"/>
      <c r="C26" s="19">
        <f>'Денежные потоки'!C26</f>
        <v>0</v>
      </c>
      <c r="D26" s="19">
        <f>'Денежные потоки'!D26</f>
        <v>0</v>
      </c>
      <c r="E26" s="19">
        <f>'Денежные потоки'!E26</f>
        <v>0</v>
      </c>
      <c r="F26" s="19">
        <f>'Денежные потоки'!F26</f>
        <v>0</v>
      </c>
    </row>
    <row r="27" spans="1:7" s="15" customFormat="1" ht="15.75" x14ac:dyDescent="0.25">
      <c r="A27" s="14" t="s">
        <v>22</v>
      </c>
      <c r="B27" s="7"/>
      <c r="C27" s="19">
        <f>'Денежные потоки'!C27</f>
        <v>0</v>
      </c>
      <c r="D27" s="19">
        <f>'Денежные потоки'!D27</f>
        <v>0</v>
      </c>
      <c r="E27" s="19">
        <f>'Денежные потоки'!E27</f>
        <v>0</v>
      </c>
      <c r="F27" s="19">
        <f>'Денежные потоки'!F27</f>
        <v>0</v>
      </c>
    </row>
    <row r="28" spans="1:7" s="16" customFormat="1" ht="31.5" x14ac:dyDescent="0.25">
      <c r="A28" s="17" t="s">
        <v>35</v>
      </c>
      <c r="B28" s="7"/>
      <c r="C28" s="25">
        <f>'Денежные потоки'!C28</f>
        <v>0</v>
      </c>
      <c r="D28" s="25">
        <f>'Денежные потоки'!D28</f>
        <v>0</v>
      </c>
      <c r="E28" s="25">
        <f>'Денежные потоки'!E28</f>
        <v>0</v>
      </c>
      <c r="F28" s="25">
        <f>'Денежные потоки'!F28</f>
        <v>0</v>
      </c>
      <c r="G28" s="43"/>
    </row>
    <row r="29" spans="1:7" hidden="1" x14ac:dyDescent="0.25">
      <c r="A29" s="8" t="s">
        <v>25</v>
      </c>
      <c r="B29" s="7"/>
      <c r="C29" s="40"/>
      <c r="D29" s="7"/>
      <c r="E29" s="7"/>
      <c r="F29" s="7"/>
    </row>
    <row r="30" spans="1:7" hidden="1" x14ac:dyDescent="0.25">
      <c r="A30" s="11" t="s">
        <v>27</v>
      </c>
      <c r="B30" s="7"/>
      <c r="C30" s="19">
        <f>'Денежные потоки'!C30</f>
        <v>0</v>
      </c>
      <c r="D30" s="19">
        <f>'Денежные потоки'!D30</f>
        <v>0</v>
      </c>
      <c r="E30" s="19">
        <f>'Денежные потоки'!E30</f>
        <v>0</v>
      </c>
      <c r="F30" s="19">
        <f>'Денежные потоки'!F30</f>
        <v>0</v>
      </c>
    </row>
    <row r="31" spans="1:7" hidden="1" x14ac:dyDescent="0.25">
      <c r="A31" s="6" t="s">
        <v>26</v>
      </c>
      <c r="B31" s="7"/>
      <c r="C31" s="37">
        <f>'Денежные потоки'!C31</f>
        <v>0</v>
      </c>
      <c r="D31" s="37">
        <f>'Денежные потоки'!D31</f>
        <v>0</v>
      </c>
      <c r="E31" s="37">
        <f>'Денежные потоки'!E31</f>
        <v>0</v>
      </c>
      <c r="F31" s="37">
        <f>'Денежные потоки'!F31</f>
        <v>0</v>
      </c>
    </row>
    <row r="32" spans="1:7" hidden="1" x14ac:dyDescent="0.25">
      <c r="A32" s="6" t="s">
        <v>28</v>
      </c>
      <c r="B32" s="7"/>
      <c r="C32" s="37">
        <f>'Денежные потоки'!C32</f>
        <v>0</v>
      </c>
      <c r="D32" s="37">
        <f>'Денежные потоки'!D32</f>
        <v>0</v>
      </c>
      <c r="E32" s="37">
        <f>'Денежные потоки'!E32</f>
        <v>0</v>
      </c>
      <c r="F32" s="37">
        <f>'Денежные потоки'!F32</f>
        <v>0</v>
      </c>
    </row>
    <row r="33" spans="1:7" hidden="1" x14ac:dyDescent="0.25">
      <c r="A33" s="11" t="s">
        <v>29</v>
      </c>
      <c r="B33" s="7"/>
      <c r="C33" s="19">
        <f>'Денежные потоки'!C33</f>
        <v>0</v>
      </c>
      <c r="D33" s="19">
        <f>'Денежные потоки'!D33</f>
        <v>0</v>
      </c>
      <c r="E33" s="19">
        <f>'Денежные потоки'!E33</f>
        <v>0</v>
      </c>
      <c r="F33" s="19">
        <f>'Денежные потоки'!F33</f>
        <v>0</v>
      </c>
    </row>
    <row r="34" spans="1:7" hidden="1" x14ac:dyDescent="0.25">
      <c r="A34" s="6" t="s">
        <v>30</v>
      </c>
      <c r="B34" s="7"/>
      <c r="C34" s="37">
        <f>'Денежные потоки'!C34</f>
        <v>0</v>
      </c>
      <c r="D34" s="37">
        <f>'Денежные потоки'!D34</f>
        <v>0</v>
      </c>
      <c r="E34" s="37">
        <f>'Денежные потоки'!E34</f>
        <v>0</v>
      </c>
      <c r="F34" s="37">
        <f>'Денежные потоки'!F34</f>
        <v>0</v>
      </c>
    </row>
    <row r="35" spans="1:7" hidden="1" x14ac:dyDescent="0.25">
      <c r="A35" s="6" t="s">
        <v>31</v>
      </c>
      <c r="B35" s="7"/>
      <c r="C35" s="37">
        <f>'Денежные потоки'!C35</f>
        <v>0</v>
      </c>
      <c r="D35" s="37">
        <f>'Денежные потоки'!D35</f>
        <v>0</v>
      </c>
      <c r="E35" s="37">
        <f>'Денежные потоки'!E35</f>
        <v>0</v>
      </c>
      <c r="F35" s="37">
        <f>'Денежные потоки'!F35</f>
        <v>0</v>
      </c>
    </row>
    <row r="36" spans="1:7" hidden="1" x14ac:dyDescent="0.25">
      <c r="A36" s="11" t="s">
        <v>38</v>
      </c>
      <c r="B36" s="7"/>
      <c r="C36" s="19">
        <f>'Денежные потоки'!C36</f>
        <v>0</v>
      </c>
      <c r="D36" s="19">
        <f>'Денежные потоки'!D36</f>
        <v>0</v>
      </c>
      <c r="E36" s="19">
        <f>'Денежные потоки'!E36</f>
        <v>0</v>
      </c>
      <c r="F36" s="19">
        <f>'Денежные потоки'!F36</f>
        <v>0</v>
      </c>
    </row>
    <row r="37" spans="1:7" hidden="1" x14ac:dyDescent="0.25">
      <c r="A37" s="6" t="s">
        <v>32</v>
      </c>
      <c r="B37" s="7"/>
      <c r="C37" s="37">
        <f>'Денежные потоки'!C37</f>
        <v>0</v>
      </c>
      <c r="D37" s="37">
        <f>'Денежные потоки'!D37</f>
        <v>0</v>
      </c>
      <c r="E37" s="37">
        <f>'Денежные потоки'!E37</f>
        <v>0</v>
      </c>
      <c r="F37" s="37">
        <f>'Денежные потоки'!F37</f>
        <v>0</v>
      </c>
    </row>
    <row r="38" spans="1:7" hidden="1" x14ac:dyDescent="0.25">
      <c r="A38" s="6" t="s">
        <v>33</v>
      </c>
      <c r="B38" s="7"/>
      <c r="C38" s="37">
        <f>'Денежные потоки'!C38</f>
        <v>0</v>
      </c>
      <c r="D38" s="37">
        <f>'Денежные потоки'!D38</f>
        <v>0</v>
      </c>
      <c r="E38" s="37">
        <f>'Денежные потоки'!E38</f>
        <v>0</v>
      </c>
      <c r="F38" s="37">
        <f>'Денежные потоки'!F38</f>
        <v>0</v>
      </c>
    </row>
    <row r="39" spans="1:7" hidden="1" x14ac:dyDescent="0.25">
      <c r="A39" s="6" t="s">
        <v>20</v>
      </c>
      <c r="B39" s="7"/>
      <c r="C39" s="37">
        <f>'Денежные потоки'!C39</f>
        <v>0</v>
      </c>
      <c r="D39" s="37">
        <f>'Денежные потоки'!D39</f>
        <v>0</v>
      </c>
      <c r="E39" s="37">
        <f>'Денежные потоки'!E39</f>
        <v>0</v>
      </c>
      <c r="F39" s="37">
        <f>'Денежные потоки'!F39</f>
        <v>0</v>
      </c>
    </row>
    <row r="40" spans="1:7" hidden="1" x14ac:dyDescent="0.25">
      <c r="A40" s="8" t="s">
        <v>34</v>
      </c>
      <c r="B40" s="7"/>
      <c r="C40" s="19">
        <f>'Денежные потоки'!C40</f>
        <v>0</v>
      </c>
      <c r="D40" s="19">
        <f>'Денежные потоки'!D40</f>
        <v>0</v>
      </c>
      <c r="E40" s="19">
        <f>'Денежные потоки'!E40</f>
        <v>0</v>
      </c>
      <c r="F40" s="19">
        <f>'Денежные потоки'!F40</f>
        <v>0</v>
      </c>
    </row>
    <row r="41" spans="1:7" x14ac:dyDescent="0.25">
      <c r="A41" s="10" t="s">
        <v>36</v>
      </c>
      <c r="B41" s="7"/>
      <c r="C41" s="19">
        <f>'Денежные потоки'!C41</f>
        <v>0</v>
      </c>
      <c r="D41" s="19">
        <f>'Денежные потоки'!D41</f>
        <v>0</v>
      </c>
      <c r="E41" s="19">
        <f>'Денежные потоки'!E41</f>
        <v>0</v>
      </c>
      <c r="F41" s="19">
        <f>'Денежные потоки'!F41</f>
        <v>0</v>
      </c>
    </row>
    <row r="42" spans="1:7" x14ac:dyDescent="0.25">
      <c r="A42" s="36" t="s">
        <v>42</v>
      </c>
      <c r="B42" s="22">
        <f>'Денежные потоки'!I2</f>
        <v>0.2</v>
      </c>
      <c r="C42" s="6"/>
      <c r="D42" s="6"/>
      <c r="E42" s="6"/>
      <c r="F42" s="6"/>
      <c r="G42" s="6"/>
    </row>
    <row r="43" spans="1:7" s="4" customFormat="1" x14ac:dyDescent="0.25">
      <c r="A43" s="36" t="s">
        <v>23</v>
      </c>
      <c r="B43" s="8"/>
      <c r="C43" s="26">
        <f>1/POWER(1+$B$42,C$5)</f>
        <v>1</v>
      </c>
      <c r="D43" s="26">
        <f>1/POWER(1+$B$42,D$5)</f>
        <v>0.83333333333333337</v>
      </c>
      <c r="E43" s="26">
        <f>1/POWER(1+$B$42,E$5)</f>
        <v>0.69444444444444442</v>
      </c>
      <c r="F43" s="26">
        <f>1/POWER(1+$B$42,F$5)</f>
        <v>0.57870370370370372</v>
      </c>
      <c r="G43" s="28"/>
    </row>
    <row r="44" spans="1:7" x14ac:dyDescent="0.25">
      <c r="A44" s="36" t="s">
        <v>43</v>
      </c>
      <c r="B44" s="6"/>
      <c r="C44" s="18">
        <f>C18*C43</f>
        <v>0</v>
      </c>
      <c r="D44" s="27">
        <f>D18*D43</f>
        <v>0</v>
      </c>
      <c r="E44" s="27">
        <f>E18*E43</f>
        <v>0</v>
      </c>
      <c r="F44" s="27">
        <f>F18*F43</f>
        <v>0</v>
      </c>
      <c r="G44" s="27">
        <f>SUM(C44:F44)</f>
        <v>0</v>
      </c>
    </row>
    <row r="45" spans="1:7" x14ac:dyDescent="0.25">
      <c r="A45" s="36" t="s">
        <v>44</v>
      </c>
      <c r="B45" s="6"/>
      <c r="C45" s="18">
        <f>C26*C43</f>
        <v>0</v>
      </c>
      <c r="D45" s="27">
        <f>D26*D43</f>
        <v>0</v>
      </c>
      <c r="E45" s="27">
        <f>E26*E43</f>
        <v>0</v>
      </c>
      <c r="F45" s="27">
        <f>F26*F43</f>
        <v>0</v>
      </c>
      <c r="G45" s="27">
        <f>SUM(C45:F45)</f>
        <v>0</v>
      </c>
    </row>
    <row r="46" spans="1:7" s="51" customFormat="1" x14ac:dyDescent="0.25">
      <c r="A46" s="48" t="s">
        <v>49</v>
      </c>
      <c r="B46" s="10"/>
      <c r="C46" s="49">
        <f>C44+C45</f>
        <v>0</v>
      </c>
      <c r="D46" s="50">
        <f>C46+D44+D45</f>
        <v>0</v>
      </c>
      <c r="E46" s="50">
        <f>D46+E44+E45</f>
        <v>0</v>
      </c>
      <c r="F46" s="50">
        <f>E46+F44+F45</f>
        <v>0</v>
      </c>
      <c r="G46" s="50"/>
    </row>
    <row r="47" spans="1:7" x14ac:dyDescent="0.25">
      <c r="A47" s="36" t="s">
        <v>45</v>
      </c>
      <c r="B47" s="6"/>
      <c r="C47" s="6"/>
      <c r="D47" s="6"/>
      <c r="E47" s="6"/>
      <c r="F47" s="6"/>
      <c r="G47" s="27">
        <f>SUM(G44:G45)</f>
        <v>0</v>
      </c>
    </row>
    <row r="48" spans="1:7" x14ac:dyDescent="0.25">
      <c r="A48" s="36" t="s">
        <v>48</v>
      </c>
      <c r="B48" s="6"/>
      <c r="C48" s="6"/>
      <c r="D48" s="6"/>
      <c r="E48" s="6"/>
      <c r="F48" s="6"/>
      <c r="G48" s="27" t="str">
        <f>IF(G45=0,"не определен",IF(G44&gt;0,G44/(-G45),"проект не эффективен"))</f>
        <v>не определен</v>
      </c>
    </row>
    <row r="49" spans="1:7" x14ac:dyDescent="0.25">
      <c r="A49" s="36" t="s">
        <v>52</v>
      </c>
      <c r="B49" s="6"/>
      <c r="C49" s="6"/>
      <c r="D49" s="6"/>
      <c r="E49" s="6"/>
      <c r="F49" s="6"/>
      <c r="G49" s="41" t="str">
        <f>IF(SUM(C27:F27)&gt;0,IRR(C27:F27,B42),"не определена")</f>
        <v>не определена</v>
      </c>
    </row>
    <row r="50" spans="1:7" x14ac:dyDescent="0.25">
      <c r="A50" s="36" t="s">
        <v>46</v>
      </c>
      <c r="B50" s="6"/>
      <c r="C50" s="6"/>
      <c r="D50" s="6"/>
      <c r="E50" s="6"/>
      <c r="F50" s="6"/>
      <c r="G50" s="41" t="str">
        <f>IF(SUM(C18:F18)&gt;0,SUM(C18:F18)/(-SUM(C26:F26)),"проект убыточен")</f>
        <v>проект убыточен</v>
      </c>
    </row>
    <row r="51" spans="1:7" x14ac:dyDescent="0.25">
      <c r="A51" s="36" t="s">
        <v>47</v>
      </c>
      <c r="B51" s="6"/>
      <c r="C51" s="6"/>
      <c r="D51" s="6"/>
      <c r="E51" s="6"/>
      <c r="F51" s="6"/>
      <c r="G51" s="18" t="str">
        <f>IF(C28&gt;0,C$5,IF(D28&gt;0,D$5,IF(E28&gt;0,E$5,IF(F28&gt;0,F$5,"превышает срок жизни проекта"))))</f>
        <v>превышает срок жизни проекта</v>
      </c>
    </row>
    <row r="52" spans="1:7" hidden="1" x14ac:dyDescent="0.25">
      <c r="A52" s="36" t="s">
        <v>64</v>
      </c>
      <c r="G52" s="18" t="str">
        <f>IF(C46&gt;0,C$5,IF(D46&gt;0,D$5,IF(E46&gt;0,E$5,IF(F46&gt;0,F$5,"превышает срок жизни проекта"))))</f>
        <v>превышает срок жизни проекта</v>
      </c>
    </row>
  </sheetData>
  <mergeCells count="4">
    <mergeCell ref="A1:F1"/>
    <mergeCell ref="A3:A4"/>
    <mergeCell ref="C3:F3"/>
    <mergeCell ref="B3:B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4"/>
  <sheetViews>
    <sheetView tabSelected="1" zoomScale="69" zoomScaleNormal="69" workbookViewId="0">
      <selection activeCell="H26" sqref="H26"/>
    </sheetView>
  </sheetViews>
  <sheetFormatPr defaultRowHeight="15" x14ac:dyDescent="0.25"/>
  <cols>
    <col min="1" max="1" width="102" style="1" customWidth="1"/>
    <col min="2" max="5" width="16.7109375" style="1" customWidth="1"/>
    <col min="6" max="16384" width="9.140625" style="1"/>
  </cols>
  <sheetData>
    <row r="1" spans="1:5" ht="33" x14ac:dyDescent="0.45">
      <c r="A1" s="65" t="s">
        <v>50</v>
      </c>
      <c r="B1" s="65"/>
      <c r="C1" s="65"/>
      <c r="D1" s="65"/>
      <c r="E1" s="65"/>
    </row>
    <row r="3" spans="1:5" ht="22.5" x14ac:dyDescent="0.3">
      <c r="A3" s="44" t="s">
        <v>51</v>
      </c>
      <c r="B3" s="44">
        <f>'Денежные потоки'!C4</f>
        <v>2019</v>
      </c>
      <c r="C3" s="44">
        <f>'Денежные потоки'!D4</f>
        <v>2020</v>
      </c>
      <c r="D3" s="44">
        <f>'Денежные потоки'!E4</f>
        <v>2021</v>
      </c>
      <c r="E3" s="44">
        <f>'Денежные потоки'!F4</f>
        <v>2022</v>
      </c>
    </row>
    <row r="4" spans="1:5" s="3" customFormat="1" x14ac:dyDescent="0.25">
      <c r="A4" s="45" t="s">
        <v>40</v>
      </c>
      <c r="B4" s="45">
        <v>0</v>
      </c>
      <c r="C4" s="45">
        <v>1</v>
      </c>
      <c r="D4" s="45">
        <v>2</v>
      </c>
      <c r="E4" s="45">
        <v>3</v>
      </c>
    </row>
    <row r="5" spans="1:5" ht="23.25" x14ac:dyDescent="0.35">
      <c r="A5" s="47" t="s">
        <v>62</v>
      </c>
      <c r="B5" s="44">
        <f>'Оценка эффективности'!C18</f>
        <v>0</v>
      </c>
      <c r="C5" s="44">
        <f>'Оценка эффективности'!D18</f>
        <v>0</v>
      </c>
      <c r="D5" s="44">
        <f>'Оценка эффективности'!E18</f>
        <v>0</v>
      </c>
      <c r="E5" s="44">
        <f>'Оценка эффективности'!F18</f>
        <v>0</v>
      </c>
    </row>
    <row r="6" spans="1:5" ht="23.25" x14ac:dyDescent="0.35">
      <c r="A6" s="46" t="s">
        <v>63</v>
      </c>
      <c r="B6" s="44">
        <f>'Оценка эффективности'!C26</f>
        <v>0</v>
      </c>
      <c r="C6" s="44">
        <f>'Оценка эффективности'!D26</f>
        <v>0</v>
      </c>
      <c r="D6" s="44">
        <f>'Оценка эффективности'!E26</f>
        <v>0</v>
      </c>
      <c r="E6" s="44">
        <f>'Оценка эффективности'!F26</f>
        <v>0</v>
      </c>
    </row>
    <row r="7" spans="1:5" ht="23.25" x14ac:dyDescent="0.35">
      <c r="A7" s="47" t="s">
        <v>65</v>
      </c>
      <c r="B7" s="44">
        <f>'Оценка эффективности'!C28</f>
        <v>0</v>
      </c>
      <c r="C7" s="44">
        <f>'Оценка эффективности'!D28</f>
        <v>0</v>
      </c>
      <c r="D7" s="44">
        <f>'Оценка эффективности'!E28</f>
        <v>0</v>
      </c>
      <c r="E7" s="44">
        <f>'Оценка эффективности'!F28</f>
        <v>0</v>
      </c>
    </row>
    <row r="8" spans="1:5" x14ac:dyDescent="0.25">
      <c r="A8" s="2"/>
    </row>
    <row r="9" spans="1:5" ht="22.5" x14ac:dyDescent="0.3">
      <c r="A9" s="46" t="s">
        <v>53</v>
      </c>
      <c r="B9" s="66">
        <f>'Оценка эффективности'!B42</f>
        <v>0.2</v>
      </c>
      <c r="C9" s="66"/>
      <c r="D9" s="66"/>
      <c r="E9" s="66"/>
    </row>
    <row r="10" spans="1:5" ht="22.5" x14ac:dyDescent="0.3">
      <c r="A10" s="46" t="str">
        <f>'Оценка эффективности'!A47</f>
        <v>NPV, тыс. руб.</v>
      </c>
      <c r="B10" s="67">
        <f>'Оценка эффективности'!G47</f>
        <v>0</v>
      </c>
      <c r="C10" s="67"/>
      <c r="D10" s="67"/>
      <c r="E10" s="67"/>
    </row>
    <row r="11" spans="1:5" ht="22.5" x14ac:dyDescent="0.3">
      <c r="A11" s="46" t="str">
        <f>'Оценка эффективности'!A48</f>
        <v>PI, коэф.</v>
      </c>
      <c r="B11" s="67" t="str">
        <f>'Оценка эффективности'!G48</f>
        <v>не определен</v>
      </c>
      <c r="C11" s="67"/>
      <c r="D11" s="67"/>
      <c r="E11" s="67"/>
    </row>
    <row r="12" spans="1:5" ht="22.5" x14ac:dyDescent="0.3">
      <c r="A12" s="46" t="str">
        <f>'Оценка эффективности'!A49</f>
        <v>IRR,%</v>
      </c>
      <c r="B12" s="66" t="str">
        <f>'Оценка эффективности'!G49</f>
        <v>не определена</v>
      </c>
      <c r="C12" s="66"/>
      <c r="D12" s="66"/>
      <c r="E12" s="66"/>
    </row>
    <row r="13" spans="1:5" ht="22.5" x14ac:dyDescent="0.3">
      <c r="A13" s="46" t="str">
        <f>'Оценка эффективности'!A50</f>
        <v>ROI,%</v>
      </c>
      <c r="B13" s="66" t="str">
        <f>'Оценка эффективности'!G50</f>
        <v>проект убыточен</v>
      </c>
      <c r="C13" s="66"/>
      <c r="D13" s="66"/>
      <c r="E13" s="66"/>
    </row>
    <row r="14" spans="1:5" ht="22.5" x14ac:dyDescent="0.3">
      <c r="A14" s="46" t="str">
        <f>'Оценка эффективности'!A51</f>
        <v>PB, лет</v>
      </c>
      <c r="B14" s="64" t="str">
        <f>'Оценка эффективности'!G51</f>
        <v>превышает срок жизни проекта</v>
      </c>
      <c r="C14" s="64"/>
      <c r="D14" s="64"/>
      <c r="E14" s="64"/>
    </row>
  </sheetData>
  <mergeCells count="7">
    <mergeCell ref="B14:E14"/>
    <mergeCell ref="A1:E1"/>
    <mergeCell ref="B9:E9"/>
    <mergeCell ref="B10:E10"/>
    <mergeCell ref="B11:E11"/>
    <mergeCell ref="B12:E12"/>
    <mergeCell ref="B13:E13"/>
  </mergeCells>
  <pageMargins left="0.7" right="0.7" top="0.75" bottom="0.75" header="0.3" footer="0.3"/>
  <pageSetup paperSize="9" orientation="portrait" horizontalDpi="4294967295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Денежные потоки</vt:lpstr>
      <vt:lpstr>Оценка эффективности</vt:lpstr>
      <vt:lpstr>На слайд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Gennadii</cp:lastModifiedBy>
  <dcterms:created xsi:type="dcterms:W3CDTF">2017-05-31T14:59:11Z</dcterms:created>
  <dcterms:modified xsi:type="dcterms:W3CDTF">2019-03-18T12:48:30Z</dcterms:modified>
</cp:coreProperties>
</file>